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me" sheetId="1" r:id="rId5"/>
    <sheet state="visible" name="Suivi" sheetId="2" r:id="rId6"/>
  </sheets>
  <definedNames/>
  <calcPr/>
</workbook>
</file>

<file path=xl/sharedStrings.xml><?xml version="1.0" encoding="utf-8"?>
<sst xmlns="http://schemas.openxmlformats.org/spreadsheetml/2006/main" count="200" uniqueCount="155">
  <si>
    <t>PROGRAMME 12 SEMAINES — ROUNDS 3 MIN (sac/corde/renfo) + DURÉE LIBRE (rameur/vélo/course)</t>
  </si>
  <si>
    <t>INSTALLATION</t>
  </si>
  <si>
    <t>MONTÉE</t>
  </si>
  <si>
    <t>INTENSIF</t>
  </si>
  <si>
    <t>RÉFÉRENCES</t>
  </si>
  <si>
    <t>JOUR</t>
  </si>
  <si>
    <t>ACTIVITÉ</t>
  </si>
  <si>
    <t>FORMAT</t>
  </si>
  <si>
    <t>DURÉE BASE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</si>
  <si>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</si>
  <si>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</si>
  <si>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</si>
  <si>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</si>
  <si>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</si>
  <si>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</si>
  <si>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</si>
  <si>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</si>
  <si>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</si>
  <si>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</si>
  <si>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</si>
  <si>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</si>
  <si>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VIDÉO YOUTUBE</t>
  </si>
  <si>
    <t>VENDREDI</t>
  </si>
  <si>
    <t>RAMEUR
effort</t>
  </si>
  <si>
    <t>Durée libre
bloc continu</t>
  </si>
  <si>
    <t>30 min</t>
  </si>
  <si>
    <t>15 min
cadence 22</t>
  </si>
  <si>
    <t>18 min
cadence 24</t>
  </si>
  <si>
    <t>20 min
cadence 24</t>
  </si>
  <si>
    <t>20 min
cadence 24-26</t>
  </si>
  <si>
    <t>22 min
cadence 26</t>
  </si>
  <si>
    <t>22 min
+ TEST 5000m</t>
  </si>
  <si>
    <t>20 min
1 min fort
2 min modéré</t>
  </si>
  <si>
    <t>20 min
alterné</t>
  </si>
  <si>
    <t>25 min
alterné</t>
  </si>
  <si>
    <t>25 min
+ RETEST 5000m</t>
  </si>
  <si>
    <t>Séance Rameur : 19min pour Garder la Forme (à faire tous les jours)</t>
  </si>
  <si>
    <t>Lose Weight in 24 Minutes - Rowing Machine Routine - YouTube</t>
  </si>
  <si>
    <t>Fat burning session on a rowing machine - YouTube</t>
  </si>
  <si>
    <t>20min Rowing Same Effect as One Hour of Jogging / FOLLOW US! - YouTube</t>
  </si>
  <si>
    <t>Interval Training cardio &amp; abdos</t>
  </si>
  <si>
    <t>30 minutes WORKOUT : pas de PERTE DE TEMPS (Séance Rameur)</t>
  </si>
  <si>
    <t>Séance RAMEUR Endurance en LIVE - mercredi 15 novembre</t>
  </si>
  <si>
    <t>CORDE
à sauter</t>
  </si>
  <si>
    <t>Rounds
3 min / 1 min</t>
  </si>
  <si>
    <t>variable</t>
  </si>
  <si>
    <t>3 rounds
(30s on/off
si galère)</t>
  </si>
  <si>
    <t>3 rounds</t>
  </si>
  <si>
    <t>4 rounds</t>
  </si>
  <si>
    <t>5 rounds</t>
  </si>
  <si>
    <t>5 rounds
3 min continues</t>
  </si>
  <si>
    <t>6 rounds
varier pieds</t>
  </si>
  <si>
    <t>6 rounds</t>
  </si>
  <si>
    <t>6 rounds
montées genoux</t>
  </si>
  <si>
    <t>7 rounds</t>
  </si>
  <si>
    <t>7 rounds
croisés</t>
  </si>
  <si>
    <t>SAC
de frappe</t>
  </si>
  <si>
    <t>4 rounds
jab-cross
uniquement</t>
  </si>
  <si>
    <t>4 rounds
jab-cross</t>
  </si>
  <si>
    <t>5 rounds
jab-cross</t>
  </si>
  <si>
    <t>5 rounds
ajouter crochet
(1-2-3)</t>
  </si>
  <si>
    <t>6 rounds
combos 1-2-3</t>
  </si>
  <si>
    <t>6 rounds
combos 1-2-3-2</t>
  </si>
  <si>
    <t>6 rounds
combos variés</t>
  </si>
  <si>
    <t>6 rounds
tête + corps</t>
  </si>
  <si>
    <t>7 rounds
tête/corps</t>
  </si>
  <si>
    <t>7 rounds
4-5 coups</t>
  </si>
  <si>
    <t>7 rounds
tout</t>
  </si>
  <si>
    <t>Shadow boxing : séance en temps réel n°1 | Greggot</t>
  </si>
  <si>
    <t>Shadow boxing : séance en temps réel n°3 | Greggot - YouTube</t>
  </si>
  <si>
    <t>Boxe Anglaise : Entrainement complet au sac de frappe | Technique &amp; Cardio - YouTube</t>
  </si>
  <si>
    <t>Boxe anglaise : séance complète au sac de frappe pour mettre KO au corps | Greggot</t>
  </si>
  <si>
    <t>English Boxing: Complete Punching Bag Session | Greggot - YouTube</t>
  </si>
  <si>
    <t>RENFO
3 rounds fixes</t>
  </si>
  <si>
    <t>12 min</t>
  </si>
  <si>
    <t>R1: pompes
R2: planche
R3: squats</t>
  </si>
  <si>
    <t>idem</t>
  </si>
  <si>
    <t>idem
+ burpees
sans pompe</t>
  </si>
  <si>
    <t>idem
pompes
classiques</t>
  </si>
  <si>
    <t>idem
+ burpees
complets</t>
  </si>
  <si>
    <t>idem
ajouter
squats x20</t>
  </si>
  <si>
    <t>idem
kettlebell
(si acheté)</t>
  </si>
  <si>
    <t>ÉTIREMENTS</t>
  </si>
  <si>
    <t>Libre</t>
  </si>
  <si>
    <t>5 min</t>
  </si>
  <si>
    <t>DIMANCHE</t>
  </si>
  <si>
    <t>COURSE
à pied</t>
  </si>
  <si>
    <t>Durée libre
pas de rounds</t>
  </si>
  <si>
    <t>45-55 min</t>
  </si>
  <si>
    <t>5-6 km
allure libre</t>
  </si>
  <si>
    <t>5-6 km
structurée</t>
  </si>
  <si>
    <t>6 km</t>
  </si>
  <si>
    <t>6,5 km
CHRONO 5K</t>
  </si>
  <si>
    <t>7 km</t>
  </si>
  <si>
    <t>7 km
neg. split</t>
  </si>
  <si>
    <t>7,5 km</t>
  </si>
  <si>
    <t>8 km
CHRONO</t>
  </si>
  <si>
    <t>Fractionné
10 min échauff
8x (3 min vite
1 min marche)
10 min retour</t>
  </si>
  <si>
    <t>8 km long</t>
  </si>
  <si>
    <t>Fractionné
10x (3 min
/ 1 min)</t>
  </si>
  <si>
    <t>9 km
CHRONO FINAL</t>
  </si>
  <si>
    <t>MARDI</t>
  </si>
  <si>
    <t>VÉLO ou
RAMEUR
au choix</t>
  </si>
  <si>
    <t>30-40 min</t>
  </si>
  <si>
    <t>20 min vélo
ou rameur
effort léger</t>
  </si>
  <si>
    <t>25 min</t>
  </si>
  <si>
    <t>30 min
alterner
vélo/rameur</t>
  </si>
  <si>
    <t>35 min</t>
  </si>
  <si>
    <t>35 min
+ test 5000m
rameur</t>
  </si>
  <si>
    <t>35 min
alterné fort
/ modéré</t>
  </si>
  <si>
    <t>40 min</t>
  </si>
  <si>
    <t>40 min
+ retest 5000m</t>
  </si>
  <si>
    <t>DURÉE TOTALE VENDREDI</t>
  </si>
  <si>
    <t>~56 min
16 rounds</t>
  </si>
  <si>
    <t>~56 min</t>
  </si>
  <si>
    <t>~64 min
18 rounds</t>
  </si>
  <si>
    <t>~68 min
19 rounds</t>
  </si>
  <si>
    <t>~72 min
19 rounds</t>
  </si>
  <si>
    <t>~76 min
20 rounds</t>
  </si>
  <si>
    <t>~82 min
21 rounds</t>
  </si>
  <si>
    <t>~80 min
21 rounds</t>
  </si>
  <si>
    <t>~84 min
23 rounds</t>
  </si>
  <si>
    <t>~90 min
23 rounds</t>
  </si>
  <si>
    <t>RÈGLE : 2 séances/sem = ✓ OK  |  3 séances = ★ BONUS  |  Rounds = sac + corde + renfo uniquement  |  Rameur, vélo, course = durée libre, pas de rounds  |  Timer appli Boxing Timer réglé 3 min / 1 min</t>
  </si>
  <si>
    <t>LOGISTIQUE : bandes + gants + corde dans un sac au garage. Timer sur le tel. Préparer la veille. Bandes OBLIGATOIRES pour le sac. Gants 12 oz (~40€) + bandes Venum 4m (~12€) + tapis sol 15mm (~25€). Kettlebell 16 kg en S8 (~50€).</t>
  </si>
  <si>
    <t>SUIVI &amp; CUMULS</t>
  </si>
  <si>
    <t>SEM</t>
  </si>
  <si>
    <t>MARDI
(bonus)</t>
  </si>
  <si>
    <t>VENDREDI
(fixe)</t>
  </si>
  <si>
    <t>DIMANCHE
(fixe)</t>
  </si>
  <si>
    <t>SÉANCES
/sem</t>
  </si>
  <si>
    <t>STATUT</t>
  </si>
  <si>
    <t>CUMUL
séances</t>
  </si>
  <si>
    <t>FC
repos</t>
  </si>
  <si>
    <t>CHRONO
course</t>
  </si>
  <si>
    <t>CHRONO
rameur 5K</t>
  </si>
  <si>
    <t>NOTES / RESSENTI</t>
  </si>
  <si>
    <t>x</t>
  </si>
  <si>
    <t>BILAN 12 SEMAINES</t>
  </si>
  <si>
    <t>séances</t>
  </si>
  <si>
    <t>RÉGULARITÉ</t>
  </si>
  <si>
    <t>semaines ★ bonus</t>
  </si>
  <si>
    <t>semaines ✓ OK</t>
  </si>
  <si>
    <t>semaines ✗ ratées</t>
  </si>
  <si>
    <t>CARDIO</t>
  </si>
  <si>
    <t>FC repos S1 :</t>
  </si>
  <si>
    <t>FC repos S12 :</t>
  </si>
  <si>
    <t>Écart :</t>
  </si>
  <si>
    <t>COURSE</t>
  </si>
  <si>
    <t>5K chrono S4 :</t>
  </si>
  <si>
    <t>8K chrono S12 :</t>
  </si>
  <si>
    <t>RAMEUR</t>
  </si>
  <si>
    <t>5000m S8 :</t>
  </si>
  <si>
    <t>5000m S12 :</t>
  </si>
  <si>
    <t>MODE D'EMPLOI : tape "X" ou le nb de rounds (ex: "19") dans Mardi/Vendredi/Dimanche. Cases jaunes = semaines clés pour noter FC repos et chronos (S1, S4, S8, S12). FC repos = le matin au réveil sur la Fenix.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</si>
</sst>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9.0"/>
      <color rgb="FFFFFFFF"/>
      <name val="IBM Plex Sans"/>
    </font>
    <font/>
    <font>
      <sz val="9.0"/>
      <color theme="1"/>
      <name val="IBM Plex Sans"/>
    </font>
    <font>
      <b/>
      <sz val="9.0"/>
      <color rgb="FF2E7D32"/>
      <name val="IBM Plex Sans"/>
    </font>
    <font>
      <b/>
      <sz val="9.0"/>
      <color rgb="FF1565C0"/>
      <name val="IBM Plex Sans"/>
    </font>
    <font>
      <b/>
      <sz val="9.0"/>
      <color rgb="FFE65100"/>
      <name val="IBM Plex Sans"/>
    </font>
    <font>
      <b/>
      <sz val="9.0"/>
      <color theme="1"/>
      <name val="IBM Plex Sans"/>
    </font>
    <font>
      <u/>
      <sz val="9.0"/>
      <color rgb="FF0F0F0F"/>
      <name val="IBM Plex Sans"/>
    </font>
    <font>
      <u/>
      <sz val="9.0"/>
      <color rgb="FF0F0F0F"/>
      <name val="IBM Plex Sans"/>
    </font>
    <font>
      <u/>
      <sz val="9.0"/>
      <color rgb="FF1565C0"/>
      <name val="IBM Plex Sans"/>
    </font>
    <font>
      <sz val="9.0"/>
      <color rgb="FF0F0F0F"/>
      <name val="IBM Plex Sans"/>
    </font>
    <font>
      <u/>
      <sz val="9.0"/>
      <color rgb="FF0F0F0F"/>
      <name val="IBM Plex Sans"/>
    </font>
    <font>
      <b/>
      <sz val="9.0"/>
      <color rgb="FFE94560"/>
      <name val="IBM Plex Sans"/>
    </font>
    <font>
      <sz val="9.0"/>
      <color rgb="FF666666"/>
      <name val="IBM Plex Sans"/>
    </font>
  </fonts>
  <fills count="10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E8F5E9"/>
        <bgColor rgb="FFE8F5E9"/>
      </patternFill>
    </fill>
    <fill>
      <patternFill patternType="solid">
        <fgColor rgb="FFE3F2FD"/>
        <bgColor rgb="FFE3F2FD"/>
      </patternFill>
    </fill>
    <fill>
      <patternFill patternType="solid">
        <fgColor rgb="FFFFF3E0"/>
        <bgColor rgb="FFFFF3E0"/>
      </patternFill>
    </fill>
    <fill>
      <patternFill patternType="solid">
        <fgColor rgb="FF0F3460"/>
        <bgColor rgb="FF0F3460"/>
      </patternFill>
    </fill>
    <fill>
      <patternFill patternType="solid">
        <fgColor rgb="FFFFFDE7"/>
        <bgColor rgb="FFFFFDE7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6">
    <border/>
    <border>
      <left style="hair">
        <color rgb="FFEFEFEF"/>
      </left>
      <top style="hair">
        <color rgb="FFEFEFEF"/>
      </top>
      <bottom style="hair">
        <color rgb="FFEFEFEF"/>
      </bottom>
    </border>
    <border>
      <top style="hair">
        <color rgb="FFEFEFEF"/>
      </top>
      <bottom style="hair">
        <color rgb="FFEFEFEF"/>
      </bottom>
    </border>
    <border>
      <right style="hair">
        <color rgb="FFEFEFEF"/>
      </right>
      <top style="hair">
        <color rgb="FFEFEFEF"/>
      </top>
      <bottom style="hair">
        <color rgb="FFEFEFEF"/>
      </bottom>
    </border>
    <border>
      <left style="hair">
        <color rgb="FFEFEFEF"/>
      </left>
      <right style="hair">
        <color rgb="FFEFEFEF"/>
      </right>
      <top style="hair">
        <color rgb="FFEFEFEF"/>
      </top>
      <bottom style="hair">
        <color rgb="FFEFEFEF"/>
      </bottom>
    </border>
    <border>
      <left style="hair">
        <color rgb="FFEFEFEF"/>
      </left>
      <right style="hair">
        <color rgb="FFEFEFEF"/>
      </right>
      <top style="hair">
        <color rgb="FFEFEFEF"/>
      </top>
    </border>
    <border>
      <left style="hair">
        <color rgb="FFF3F3F3"/>
      </left>
      <right style="hair">
        <color rgb="FFF3F3F3"/>
      </right>
      <top style="hair">
        <color rgb="FFF3F3F3"/>
      </top>
      <bottom style="hair">
        <color rgb="FFF3F3F3"/>
      </bottom>
    </border>
    <border>
      <left style="hair">
        <color rgb="FFEFEFEF"/>
      </left>
      <right style="hair">
        <color rgb="FFEFEFEF"/>
      </right>
    </border>
    <border>
      <left style="hair">
        <color rgb="FFEFEFEF"/>
      </left>
      <right style="hair">
        <color rgb="FFEFEFEF"/>
      </right>
      <bottom style="hair">
        <color rgb="FFEFEFEF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shrinkToFit="0" vertical="center" wrapText="0"/>
    </xf>
    <xf borderId="1" fillId="3" fontId="4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5" fontId="6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4" fillId="6" fontId="1" numFmtId="0" xfId="0" applyAlignment="1" applyBorder="1" applyFont="1">
      <alignment horizontal="center" shrinkToFit="0" vertical="center" wrapText="1"/>
    </xf>
    <xf borderId="5" fillId="7" fontId="7" numFmtId="0" xfId="0" applyAlignment="1" applyBorder="1" applyFill="1" applyFont="1">
      <alignment horizontal="center" readingOrder="0" shrinkToFit="0" vertical="center" wrapText="1"/>
    </xf>
    <xf borderId="4" fillId="7" fontId="7" numFmtId="0" xfId="0" applyAlignment="1" applyBorder="1" applyFont="1">
      <alignment horizontal="center" shrinkToFit="0" vertical="center" wrapText="1"/>
    </xf>
    <xf borderId="4" fillId="7" fontId="3" numFmtId="0" xfId="0" applyAlignment="1" applyBorder="1" applyFont="1">
      <alignment horizontal="center" shrinkToFit="0" vertical="center" wrapText="1"/>
    </xf>
    <xf borderId="4" fillId="7" fontId="3" numFmtId="0" xfId="0" applyAlignment="1" applyBorder="1" applyFont="1">
      <alignment horizontal="center" readingOrder="0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4" fillId="4" fontId="3" numFmtId="0" xfId="0" applyAlignment="1" applyBorder="1" applyFont="1">
      <alignment horizontal="center" shrinkToFit="0" vertical="center" wrapText="1"/>
    </xf>
    <xf borderId="4" fillId="5" fontId="3" numFmtId="0" xfId="0" applyAlignment="1" applyBorder="1" applyFont="1">
      <alignment horizontal="center" shrinkToFit="0" vertical="center" wrapText="1"/>
    </xf>
    <xf borderId="6" fillId="8" fontId="8" numFmtId="0" xfId="0" applyAlignment="1" applyBorder="1" applyFill="1" applyFont="1">
      <alignment horizontal="center" readingOrder="0" vertical="center"/>
    </xf>
    <xf borderId="6" fillId="8" fontId="9" numFmtId="0" xfId="0" applyAlignment="1" applyBorder="1" applyFont="1">
      <alignment horizontal="center" readingOrder="0" vertical="center"/>
    </xf>
    <xf borderId="7" fillId="0" fontId="2" numFmtId="0" xfId="0" applyBorder="1" applyFont="1"/>
    <xf borderId="4" fillId="8" fontId="10" numFmtId="0" xfId="0" applyAlignment="1" applyBorder="1" applyFont="1">
      <alignment horizontal="center" shrinkToFit="0" vertical="center" wrapText="1"/>
    </xf>
    <xf borderId="4" fillId="8" fontId="1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6" fillId="0" fontId="12" numFmtId="0" xfId="0" applyAlignment="1" applyBorder="1" applyFont="1">
      <alignment horizontal="center" readingOrder="0" vertical="center"/>
    </xf>
    <xf borderId="6" fillId="8" fontId="11" numFmtId="0" xfId="0" applyAlignment="1" applyBorder="1" applyFont="1">
      <alignment horizontal="center" readingOrder="0" vertical="center"/>
    </xf>
    <xf borderId="6" fillId="8" fontId="11" numFmtId="0" xfId="0" applyAlignment="1" applyBorder="1" applyFont="1">
      <alignment horizontal="center" readingOrder="0" vertical="center"/>
    </xf>
    <xf borderId="4" fillId="3" fontId="3" numFmtId="0" xfId="0" applyAlignment="1" applyBorder="1" applyFont="1">
      <alignment horizontal="center" readingOrder="0" shrinkToFit="0" vertical="center" wrapText="1"/>
    </xf>
    <xf borderId="6" fillId="8" fontId="11" numFmtId="0" xfId="0" applyAlignment="1" applyBorder="1" applyFont="1">
      <alignment horizontal="center" vertical="center"/>
    </xf>
    <xf borderId="8" fillId="0" fontId="2" numFmtId="0" xfId="0" applyBorder="1" applyFont="1"/>
    <xf borderId="4" fillId="7" fontId="7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4" fillId="4" fontId="7" numFmtId="0" xfId="0" applyAlignment="1" applyBorder="1" applyFont="1">
      <alignment horizontal="center" shrinkToFit="0" vertical="center" wrapText="1"/>
    </xf>
    <xf borderId="4" fillId="5" fontId="7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9" fillId="2" fontId="1" numFmtId="0" xfId="0" applyAlignment="1" applyBorder="1" applyFont="1">
      <alignment horizontal="center" shrinkToFit="0" vertical="center" wrapText="0"/>
    </xf>
    <xf borderId="10" fillId="0" fontId="2" numFmtId="0" xfId="0" applyBorder="1" applyFont="1"/>
    <xf borderId="11" fillId="0" fontId="2" numFmtId="0" xfId="0" applyBorder="1" applyFont="1"/>
    <xf borderId="0" fillId="0" fontId="3" numFmtId="0" xfId="0" applyFont="1"/>
    <xf borderId="12" fillId="6" fontId="1" numFmtId="0" xfId="0" applyAlignment="1" applyBorder="1" applyFont="1">
      <alignment horizontal="center" shrinkToFit="0" vertical="center" wrapText="1"/>
    </xf>
    <xf borderId="12" fillId="3" fontId="7" numFmtId="0" xfId="0" applyAlignment="1" applyBorder="1" applyFont="1">
      <alignment horizontal="center" shrinkToFit="0" vertical="center" wrapText="1"/>
    </xf>
    <xf borderId="12" fillId="8" fontId="3" numFmtId="0" xfId="0" applyAlignment="1" applyBorder="1" applyFont="1">
      <alignment horizontal="center" readingOrder="0" shrinkToFit="0" vertical="center" wrapText="1"/>
    </xf>
    <xf borderId="12" fillId="0" fontId="7" numFmtId="0" xfId="0" applyAlignment="1" applyBorder="1" applyFont="1">
      <alignment horizontal="center" shrinkToFit="0" vertical="center" wrapText="1"/>
    </xf>
    <xf borderId="12" fillId="7" fontId="3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shrinkToFit="0" vertical="bottom" wrapText="0"/>
    </xf>
    <xf borderId="12" fillId="8" fontId="3" numFmtId="0" xfId="0" applyAlignment="1" applyBorder="1" applyFont="1">
      <alignment horizontal="center" shrinkToFit="0" vertical="center" wrapText="1"/>
    </xf>
    <xf borderId="12" fillId="4" fontId="7" numFmtId="0" xfId="0" applyAlignment="1" applyBorder="1" applyFont="1">
      <alignment horizontal="center" shrinkToFit="0" vertical="center" wrapText="1"/>
    </xf>
    <xf borderId="12" fillId="5" fontId="7" numFmtId="0" xfId="0" applyAlignment="1" applyBorder="1" applyFont="1">
      <alignment horizontal="center" shrinkToFit="0" vertical="center" wrapText="1"/>
    </xf>
    <xf borderId="13" fillId="2" fontId="1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15" fillId="0" fontId="2" numFmtId="0" xfId="0" applyBorder="1" applyFont="1"/>
    <xf borderId="12" fillId="0" fontId="13" numFmtId="0" xfId="0" applyAlignment="1" applyBorder="1" applyFont="1">
      <alignment horizontal="center" shrinkToFit="0" vertical="center" wrapText="1"/>
    </xf>
    <xf borderId="12" fillId="9" fontId="7" numFmtId="0" xfId="0" applyAlignment="1" applyBorder="1" applyFill="1" applyFont="1">
      <alignment horizontal="center" shrinkToFit="0" vertical="center" wrapText="1"/>
    </xf>
    <xf borderId="0" fillId="0" fontId="14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watch?v=7P7CIrTaqr8&amp;list=PL1nrT3wLE8RE-u_Kc9JgOIjPEiK-sl9cL" TargetMode="External"/><Relationship Id="rId10" Type="http://schemas.openxmlformats.org/officeDocument/2006/relationships/hyperlink" Target="https://www.youtube.com/watch?v=pZAT741x8lU&amp;list=PL1nrT3wLE8REuis0_Dtyf32ppGZ6KgQWd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youtube.com/watch?v=jcDgTwLX5rQ" TargetMode="External"/><Relationship Id="rId1" Type="http://schemas.openxmlformats.org/officeDocument/2006/relationships/hyperlink" Target="https://www.youtube.com/watch?v=TX6NRGnhN5Y" TargetMode="External"/><Relationship Id="rId2" Type="http://schemas.openxmlformats.org/officeDocument/2006/relationships/hyperlink" Target="https://www.youtube.com/watch?v=FJL2jmB8k20" TargetMode="External"/><Relationship Id="rId3" Type="http://schemas.openxmlformats.org/officeDocument/2006/relationships/hyperlink" Target="https://www.youtube.com/watch?v=j7qpBDuGXwo" TargetMode="External"/><Relationship Id="rId4" Type="http://schemas.openxmlformats.org/officeDocument/2006/relationships/hyperlink" Target="https://www.youtube.com/watch?v=X2ZO7CsZA_g" TargetMode="External"/><Relationship Id="rId9" Type="http://schemas.openxmlformats.org/officeDocument/2006/relationships/hyperlink" Target="https://www.youtube.com/watch?v=8PbeD-XHUW0" TargetMode="External"/><Relationship Id="rId5" Type="http://schemas.openxmlformats.org/officeDocument/2006/relationships/hyperlink" Target="https://www.youtube.com/watch?v=HcsRprBm2eY" TargetMode="External"/><Relationship Id="rId6" Type="http://schemas.openxmlformats.org/officeDocument/2006/relationships/hyperlink" Target="https://www.youtube.com/watch?v=sAP8R2pnBcY" TargetMode="External"/><Relationship Id="rId7" Type="http://schemas.openxmlformats.org/officeDocument/2006/relationships/hyperlink" Target="https://www.youtube.com/watch?v=yDtQ2QEDfas" TargetMode="External"/><Relationship Id="rId8" Type="http://schemas.openxmlformats.org/officeDocument/2006/relationships/hyperlink" Target="https://www.youtube.com/watch?v=UM7-I9OZMk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3460"/>
    <pageSetUpPr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5.75"/>
    <col customWidth="1" min="3" max="3" width="10.5"/>
    <col customWidth="1" min="4" max="4" width="8.75"/>
    <col customWidth="1" min="5" max="16" width="11.5"/>
    <col customWidth="1" min="17" max="23" width="5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>
      <c r="A2" s="4"/>
      <c r="B2" s="2"/>
      <c r="C2" s="2"/>
      <c r="D2" s="3"/>
      <c r="E2" s="5" t="s">
        <v>1</v>
      </c>
      <c r="F2" s="2"/>
      <c r="G2" s="2"/>
      <c r="H2" s="3"/>
      <c r="I2" s="6" t="s">
        <v>2</v>
      </c>
      <c r="J2" s="2"/>
      <c r="K2" s="2"/>
      <c r="L2" s="3"/>
      <c r="M2" s="7" t="s">
        <v>3</v>
      </c>
      <c r="N2" s="2"/>
      <c r="O2" s="2"/>
      <c r="P2" s="3"/>
      <c r="Q2" s="8" t="s">
        <v>4</v>
      </c>
      <c r="R2" s="2"/>
      <c r="S2" s="2"/>
      <c r="T2" s="2"/>
      <c r="U2" s="2"/>
      <c r="V2" s="2"/>
      <c r="W2" s="3"/>
    </row>
    <row r="3">
      <c r="A3" s="9" t="s">
        <v>5</v>
      </c>
      <c r="B3" s="9" t="s">
        <v>6</v>
      </c>
      <c r="C3" s="9" t="s">
        <v>7</v>
      </c>
      <c r="D3" s="9" t="s">
        <v>8</v>
      </c>
      <c r="E3" s="9" t="s">
        <v>9</v>
      </c>
      <c r="F3" s="9" t="s">
        <v>10</v>
      </c>
      <c r="G3" s="9" t="s">
        <v>11</v>
      </c>
      <c r="H3" s="9" t="s">
        <v>12</v>
      </c>
      <c r="I3" s="9" t="s">
        <v>13</v>
      </c>
      <c r="J3" s="9" t="s">
        <v>14</v>
      </c>
      <c r="K3" s="9" t="s">
        <v>15</v>
      </c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8" t="s">
        <v>21</v>
      </c>
      <c r="R3" s="2"/>
      <c r="S3" s="2"/>
      <c r="T3" s="2"/>
      <c r="U3" s="2"/>
      <c r="V3" s="2"/>
      <c r="W3" s="3"/>
    </row>
    <row r="4">
      <c r="A4" s="10" t="s">
        <v>22</v>
      </c>
      <c r="B4" s="11" t="s">
        <v>23</v>
      </c>
      <c r="C4" s="12" t="s">
        <v>24</v>
      </c>
      <c r="D4" s="13" t="s">
        <v>25</v>
      </c>
      <c r="E4" s="14" t="s">
        <v>26</v>
      </c>
      <c r="F4" s="14" t="s">
        <v>26</v>
      </c>
      <c r="G4" s="14" t="s">
        <v>27</v>
      </c>
      <c r="H4" s="14" t="s">
        <v>27</v>
      </c>
      <c r="I4" s="15" t="s">
        <v>28</v>
      </c>
      <c r="J4" s="15" t="s">
        <v>29</v>
      </c>
      <c r="K4" s="15" t="s">
        <v>30</v>
      </c>
      <c r="L4" s="15" t="s">
        <v>31</v>
      </c>
      <c r="M4" s="16" t="s">
        <v>32</v>
      </c>
      <c r="N4" s="16" t="s">
        <v>33</v>
      </c>
      <c r="O4" s="16" t="s">
        <v>34</v>
      </c>
      <c r="P4" s="16" t="s">
        <v>35</v>
      </c>
      <c r="Q4" s="17" t="s">
        <v>36</v>
      </c>
      <c r="R4" s="18" t="s">
        <v>37</v>
      </c>
      <c r="S4" s="17" t="s">
        <v>38</v>
      </c>
      <c r="T4" s="17" t="s">
        <v>39</v>
      </c>
      <c r="U4" s="17" t="s">
        <v>40</v>
      </c>
      <c r="V4" s="17" t="s">
        <v>41</v>
      </c>
      <c r="W4" s="17" t="s">
        <v>42</v>
      </c>
    </row>
    <row r="5">
      <c r="A5" s="19"/>
      <c r="B5" s="11" t="s">
        <v>43</v>
      </c>
      <c r="C5" s="12" t="s">
        <v>44</v>
      </c>
      <c r="D5" s="12" t="s">
        <v>45</v>
      </c>
      <c r="E5" s="14" t="s">
        <v>46</v>
      </c>
      <c r="F5" s="14" t="s">
        <v>47</v>
      </c>
      <c r="G5" s="14" t="s">
        <v>48</v>
      </c>
      <c r="H5" s="14" t="s">
        <v>49</v>
      </c>
      <c r="I5" s="15" t="s">
        <v>50</v>
      </c>
      <c r="J5" s="15" t="s">
        <v>49</v>
      </c>
      <c r="K5" s="15" t="s">
        <v>51</v>
      </c>
      <c r="L5" s="15" t="s">
        <v>52</v>
      </c>
      <c r="M5" s="16" t="s">
        <v>53</v>
      </c>
      <c r="N5" s="16" t="s">
        <v>54</v>
      </c>
      <c r="O5" s="16" t="s">
        <v>55</v>
      </c>
      <c r="P5" s="16" t="s">
        <v>54</v>
      </c>
      <c r="Q5" s="20"/>
      <c r="R5" s="21"/>
      <c r="S5" s="22"/>
      <c r="T5" s="22"/>
      <c r="U5" s="22"/>
      <c r="V5" s="22"/>
      <c r="W5" s="22"/>
    </row>
    <row r="6">
      <c r="A6" s="19"/>
      <c r="B6" s="11" t="s">
        <v>56</v>
      </c>
      <c r="C6" s="12" t="s">
        <v>44</v>
      </c>
      <c r="D6" s="12" t="s">
        <v>45</v>
      </c>
      <c r="E6" s="14" t="s">
        <v>57</v>
      </c>
      <c r="F6" s="14" t="s">
        <v>58</v>
      </c>
      <c r="G6" s="14" t="s">
        <v>59</v>
      </c>
      <c r="H6" s="14" t="s">
        <v>59</v>
      </c>
      <c r="I6" s="15" t="s">
        <v>60</v>
      </c>
      <c r="J6" s="15" t="s">
        <v>61</v>
      </c>
      <c r="K6" s="15" t="s">
        <v>62</v>
      </c>
      <c r="L6" s="15" t="s">
        <v>63</v>
      </c>
      <c r="M6" s="16" t="s">
        <v>64</v>
      </c>
      <c r="N6" s="16" t="s">
        <v>65</v>
      </c>
      <c r="O6" s="16" t="s">
        <v>66</v>
      </c>
      <c r="P6" s="16" t="s">
        <v>67</v>
      </c>
      <c r="Q6" s="23" t="s">
        <v>68</v>
      </c>
      <c r="R6" s="17" t="s">
        <v>69</v>
      </c>
      <c r="S6" s="17" t="s">
        <v>70</v>
      </c>
      <c r="T6" s="17" t="s">
        <v>71</v>
      </c>
      <c r="U6" s="17" t="s">
        <v>72</v>
      </c>
      <c r="V6" s="24"/>
      <c r="W6" s="25"/>
    </row>
    <row r="7">
      <c r="A7" s="19"/>
      <c r="B7" s="11" t="s">
        <v>73</v>
      </c>
      <c r="C7" s="12" t="s">
        <v>44</v>
      </c>
      <c r="D7" s="12" t="s">
        <v>74</v>
      </c>
      <c r="E7" s="26" t="s">
        <v>75</v>
      </c>
      <c r="F7" s="14" t="s">
        <v>76</v>
      </c>
      <c r="G7" s="14" t="s">
        <v>77</v>
      </c>
      <c r="H7" s="14" t="s">
        <v>78</v>
      </c>
      <c r="I7" s="15" t="s">
        <v>79</v>
      </c>
      <c r="J7" s="15" t="s">
        <v>76</v>
      </c>
      <c r="K7" s="15" t="s">
        <v>80</v>
      </c>
      <c r="L7" s="15" t="s">
        <v>76</v>
      </c>
      <c r="M7" s="16" t="s">
        <v>76</v>
      </c>
      <c r="N7" s="16" t="s">
        <v>81</v>
      </c>
      <c r="O7" s="16" t="s">
        <v>76</v>
      </c>
      <c r="P7" s="16" t="s">
        <v>76</v>
      </c>
      <c r="Q7" s="27"/>
      <c r="R7" s="22"/>
      <c r="S7" s="22"/>
      <c r="T7" s="22"/>
      <c r="U7" s="22"/>
      <c r="V7" s="22"/>
      <c r="W7" s="22"/>
    </row>
    <row r="8">
      <c r="A8" s="28"/>
      <c r="B8" s="11" t="s">
        <v>82</v>
      </c>
      <c r="C8" s="12" t="s">
        <v>83</v>
      </c>
      <c r="D8" s="12" t="s">
        <v>84</v>
      </c>
      <c r="E8" s="14" t="s">
        <v>84</v>
      </c>
      <c r="F8" s="14" t="s">
        <v>84</v>
      </c>
      <c r="G8" s="14" t="s">
        <v>84</v>
      </c>
      <c r="H8" s="14" t="s">
        <v>84</v>
      </c>
      <c r="I8" s="15" t="s">
        <v>84</v>
      </c>
      <c r="J8" s="15" t="s">
        <v>84</v>
      </c>
      <c r="K8" s="15" t="s">
        <v>84</v>
      </c>
      <c r="L8" s="15" t="s">
        <v>84</v>
      </c>
      <c r="M8" s="16" t="s">
        <v>84</v>
      </c>
      <c r="N8" s="16" t="s">
        <v>84</v>
      </c>
      <c r="O8" s="16" t="s">
        <v>84</v>
      </c>
      <c r="P8" s="16" t="s">
        <v>84</v>
      </c>
      <c r="Q8" s="20"/>
      <c r="R8" s="22"/>
      <c r="S8" s="22"/>
      <c r="T8" s="22"/>
      <c r="U8" s="22"/>
      <c r="V8" s="22"/>
      <c r="W8" s="22"/>
    </row>
    <row r="9">
      <c r="A9" s="29" t="s">
        <v>85</v>
      </c>
      <c r="B9" s="11" t="s">
        <v>86</v>
      </c>
      <c r="C9" s="12" t="s">
        <v>87</v>
      </c>
      <c r="D9" s="12" t="s">
        <v>88</v>
      </c>
      <c r="E9" s="14" t="s">
        <v>89</v>
      </c>
      <c r="F9" s="14" t="s">
        <v>90</v>
      </c>
      <c r="G9" s="14" t="s">
        <v>91</v>
      </c>
      <c r="H9" s="14" t="s">
        <v>92</v>
      </c>
      <c r="I9" s="15" t="s">
        <v>93</v>
      </c>
      <c r="J9" s="15" t="s">
        <v>94</v>
      </c>
      <c r="K9" s="15" t="s">
        <v>95</v>
      </c>
      <c r="L9" s="15" t="s">
        <v>96</v>
      </c>
      <c r="M9" s="16" t="s">
        <v>97</v>
      </c>
      <c r="N9" s="16" t="s">
        <v>98</v>
      </c>
      <c r="O9" s="16" t="s">
        <v>99</v>
      </c>
      <c r="P9" s="16" t="s">
        <v>100</v>
      </c>
      <c r="Q9" s="20"/>
      <c r="R9" s="22"/>
      <c r="S9" s="22"/>
      <c r="T9" s="22"/>
      <c r="U9" s="22"/>
      <c r="V9" s="22"/>
      <c r="W9" s="22"/>
    </row>
    <row r="10">
      <c r="A10" s="29" t="s">
        <v>101</v>
      </c>
      <c r="B10" s="11" t="s">
        <v>102</v>
      </c>
      <c r="C10" s="12" t="s">
        <v>87</v>
      </c>
      <c r="D10" s="12" t="s">
        <v>103</v>
      </c>
      <c r="E10" s="14" t="s">
        <v>104</v>
      </c>
      <c r="F10" s="14" t="s">
        <v>105</v>
      </c>
      <c r="G10" s="14" t="s">
        <v>105</v>
      </c>
      <c r="H10" s="14" t="s">
        <v>25</v>
      </c>
      <c r="I10" s="15" t="s">
        <v>106</v>
      </c>
      <c r="J10" s="15" t="s">
        <v>25</v>
      </c>
      <c r="K10" s="15" t="s">
        <v>107</v>
      </c>
      <c r="L10" s="15" t="s">
        <v>108</v>
      </c>
      <c r="M10" s="16" t="s">
        <v>109</v>
      </c>
      <c r="N10" s="16" t="s">
        <v>107</v>
      </c>
      <c r="O10" s="16" t="s">
        <v>110</v>
      </c>
      <c r="P10" s="16" t="s">
        <v>111</v>
      </c>
      <c r="Q10" s="20"/>
      <c r="R10" s="22"/>
      <c r="S10" s="22"/>
      <c r="T10" s="22"/>
      <c r="U10" s="22"/>
      <c r="V10" s="22"/>
      <c r="W10" s="22"/>
    </row>
    <row r="1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</row>
    <row r="12">
      <c r="A12" s="30" t="s">
        <v>112</v>
      </c>
      <c r="B12" s="2"/>
      <c r="C12" s="2"/>
      <c r="D12" s="3"/>
      <c r="E12" s="31" t="s">
        <v>113</v>
      </c>
      <c r="F12" s="31" t="s">
        <v>114</v>
      </c>
      <c r="G12" s="31" t="s">
        <v>115</v>
      </c>
      <c r="H12" s="31" t="s">
        <v>116</v>
      </c>
      <c r="I12" s="32" t="s">
        <v>117</v>
      </c>
      <c r="J12" s="32" t="s">
        <v>118</v>
      </c>
      <c r="K12" s="32" t="s">
        <v>119</v>
      </c>
      <c r="L12" s="32" t="s">
        <v>119</v>
      </c>
      <c r="M12" s="33" t="s">
        <v>120</v>
      </c>
      <c r="N12" s="33" t="s">
        <v>121</v>
      </c>
      <c r="O12" s="33" t="s">
        <v>122</v>
      </c>
      <c r="P12" s="33" t="s">
        <v>122</v>
      </c>
      <c r="Q12" s="22"/>
      <c r="R12" s="22"/>
      <c r="S12" s="22"/>
      <c r="T12" s="22"/>
      <c r="U12" s="22"/>
      <c r="V12" s="22"/>
      <c r="W12" s="22"/>
    </row>
    <row r="1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</row>
    <row r="14">
      <c r="A14" s="30" t="s">
        <v>123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3"/>
      <c r="R14" s="22"/>
      <c r="S14" s="22"/>
      <c r="T14" s="22"/>
      <c r="U14" s="22"/>
      <c r="V14" s="22"/>
      <c r="W14" s="22"/>
    </row>
    <row r="15">
      <c r="A15" s="34" t="s">
        <v>124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3"/>
      <c r="R15" s="22"/>
      <c r="S15" s="22"/>
      <c r="T15" s="22"/>
      <c r="U15" s="22"/>
      <c r="V15" s="22"/>
      <c r="W15" s="22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</row>
  </sheetData>
  <mergeCells count="11">
    <mergeCell ref="A4:A8"/>
    <mergeCell ref="A12:D12"/>
    <mergeCell ref="A14:Q14"/>
    <mergeCell ref="A15:Q15"/>
    <mergeCell ref="A1:W1"/>
    <mergeCell ref="A2:D2"/>
    <mergeCell ref="E2:H2"/>
    <mergeCell ref="I2:L2"/>
    <mergeCell ref="M2:P2"/>
    <mergeCell ref="Q2:W2"/>
    <mergeCell ref="Q3:W3"/>
  </mergeCells>
  <hyperlinks>
    <hyperlink r:id="rId1" ref="Q4"/>
    <hyperlink r:id="rId2" ref="R4"/>
    <hyperlink r:id="rId3" ref="S4"/>
    <hyperlink r:id="rId4" ref="T4"/>
    <hyperlink r:id="rId5" ref="U4"/>
    <hyperlink r:id="rId6" ref="V4"/>
    <hyperlink r:id="rId7" ref="W4"/>
    <hyperlink r:id="rId8" ref="Q6"/>
    <hyperlink r:id="rId9" ref="R6"/>
    <hyperlink r:id="rId10" ref="S6"/>
    <hyperlink r:id="rId11" ref="T6"/>
    <hyperlink r:id="rId12" ref="U6"/>
  </hyperlinks>
  <printOptions/>
  <pageMargins bottom="1.0" footer="0.0" header="0.0" left="0.75" right="0.75" top="1.0"/>
  <pageSetup paperSize="9" orientation="portrait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800"/>
    <pageSetUpPr/>
  </sheetPr>
  <sheetViews>
    <sheetView workbookViewId="0"/>
  </sheetViews>
  <sheetFormatPr customHeight="1" defaultColWidth="12.63" defaultRowHeight="15.75"/>
  <cols>
    <col customWidth="1" min="1" max="1" width="8.75"/>
    <col customWidth="1" min="2" max="4" width="12.25"/>
    <col customWidth="1" min="5" max="5" width="10.5"/>
    <col customWidth="1" min="6" max="6" width="12.25"/>
    <col customWidth="1" min="7" max="10" width="10.5"/>
    <col customWidth="1" min="11" max="11" width="26.25"/>
    <col customWidth="1" min="12" max="26" width="7.63"/>
  </cols>
  <sheetData>
    <row r="1">
      <c r="A1" s="35" t="s">
        <v>125</v>
      </c>
      <c r="B1" s="36"/>
      <c r="C1" s="36"/>
      <c r="D1" s="36"/>
      <c r="E1" s="36"/>
      <c r="F1" s="36"/>
      <c r="G1" s="36"/>
      <c r="H1" s="36"/>
      <c r="I1" s="36"/>
      <c r="J1" s="36"/>
      <c r="K1" s="37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>
      <c r="A3" s="39" t="s">
        <v>126</v>
      </c>
      <c r="B3" s="39" t="s">
        <v>127</v>
      </c>
      <c r="C3" s="39" t="s">
        <v>128</v>
      </c>
      <c r="D3" s="39" t="s">
        <v>129</v>
      </c>
      <c r="E3" s="39" t="s">
        <v>130</v>
      </c>
      <c r="F3" s="39" t="s">
        <v>131</v>
      </c>
      <c r="G3" s="39" t="s">
        <v>132</v>
      </c>
      <c r="H3" s="39" t="s">
        <v>133</v>
      </c>
      <c r="I3" s="39" t="s">
        <v>134</v>
      </c>
      <c r="J3" s="39" t="s">
        <v>135</v>
      </c>
      <c r="K3" s="39" t="s">
        <v>136</v>
      </c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>
      <c r="A4" s="40" t="s">
        <v>9</v>
      </c>
      <c r="B4" s="41" t="s">
        <v>137</v>
      </c>
      <c r="C4" s="41"/>
      <c r="D4" s="41"/>
      <c r="E4" s="42">
        <f t="shared" ref="E4:E15" si="1">COUNTA(B4:D4)</f>
        <v>1</v>
      </c>
      <c r="F4" s="42" t="str">
        <f t="shared" ref="F4:F15" si="2">IF(E4&gt;=3,"★ BONUS",IF(E4&gt;=2,"✓ OK",IF(E4&gt;=1,"◐ MINI","✗ RIEN")))</f>
        <v>◐ MINI</v>
      </c>
      <c r="G4" s="42">
        <f>E4</f>
        <v>1</v>
      </c>
      <c r="H4" s="43"/>
      <c r="I4" s="43"/>
      <c r="J4" s="43"/>
      <c r="K4" s="44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>
      <c r="A5" s="40" t="s">
        <v>10</v>
      </c>
      <c r="B5" s="41"/>
      <c r="C5" s="45"/>
      <c r="D5" s="45"/>
      <c r="E5" s="42">
        <f t="shared" si="1"/>
        <v>0</v>
      </c>
      <c r="F5" s="42" t="str">
        <f t="shared" si="2"/>
        <v>✗ RIEN</v>
      </c>
      <c r="G5" s="42">
        <f t="shared" ref="G5:G15" si="3">G4+E5</f>
        <v>1</v>
      </c>
      <c r="H5" s="45"/>
      <c r="I5" s="45"/>
      <c r="J5" s="45"/>
      <c r="K5" s="44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>
      <c r="A6" s="40" t="s">
        <v>11</v>
      </c>
      <c r="B6" s="45"/>
      <c r="C6" s="45"/>
      <c r="D6" s="45"/>
      <c r="E6" s="42">
        <f t="shared" si="1"/>
        <v>0</v>
      </c>
      <c r="F6" s="42" t="str">
        <f t="shared" si="2"/>
        <v>✗ RIEN</v>
      </c>
      <c r="G6" s="42">
        <f t="shared" si="3"/>
        <v>1</v>
      </c>
      <c r="H6" s="45"/>
      <c r="I6" s="45"/>
      <c r="J6" s="45"/>
      <c r="K6" s="44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>
      <c r="A7" s="40" t="s">
        <v>12</v>
      </c>
      <c r="B7" s="45"/>
      <c r="C7" s="45"/>
      <c r="D7" s="45"/>
      <c r="E7" s="42">
        <f t="shared" si="1"/>
        <v>0</v>
      </c>
      <c r="F7" s="42" t="str">
        <f t="shared" si="2"/>
        <v>✗ RIEN</v>
      </c>
      <c r="G7" s="42">
        <f t="shared" si="3"/>
        <v>1</v>
      </c>
      <c r="H7" s="43"/>
      <c r="I7" s="43"/>
      <c r="J7" s="43"/>
      <c r="K7" s="44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>
      <c r="A8" s="46" t="s">
        <v>13</v>
      </c>
      <c r="B8" s="45"/>
      <c r="C8" s="45"/>
      <c r="D8" s="45"/>
      <c r="E8" s="42">
        <f t="shared" si="1"/>
        <v>0</v>
      </c>
      <c r="F8" s="42" t="str">
        <f t="shared" si="2"/>
        <v>✗ RIEN</v>
      </c>
      <c r="G8" s="42">
        <f t="shared" si="3"/>
        <v>1</v>
      </c>
      <c r="H8" s="45"/>
      <c r="I8" s="45"/>
      <c r="J8" s="45"/>
      <c r="K8" s="44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>
      <c r="A9" s="46" t="s">
        <v>14</v>
      </c>
      <c r="B9" s="45"/>
      <c r="C9" s="45"/>
      <c r="D9" s="45"/>
      <c r="E9" s="42">
        <f t="shared" si="1"/>
        <v>0</v>
      </c>
      <c r="F9" s="42" t="str">
        <f t="shared" si="2"/>
        <v>✗ RIEN</v>
      </c>
      <c r="G9" s="42">
        <f t="shared" si="3"/>
        <v>1</v>
      </c>
      <c r="H9" s="45"/>
      <c r="I9" s="45"/>
      <c r="J9" s="45"/>
      <c r="K9" s="44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>
      <c r="A10" s="46" t="s">
        <v>15</v>
      </c>
      <c r="B10" s="45"/>
      <c r="C10" s="45"/>
      <c r="D10" s="45"/>
      <c r="E10" s="42">
        <f t="shared" si="1"/>
        <v>0</v>
      </c>
      <c r="F10" s="42" t="str">
        <f t="shared" si="2"/>
        <v>✗ RIEN</v>
      </c>
      <c r="G10" s="42">
        <f t="shared" si="3"/>
        <v>1</v>
      </c>
      <c r="H10" s="45"/>
      <c r="I10" s="45"/>
      <c r="J10" s="45"/>
      <c r="K10" s="44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>
      <c r="A11" s="46" t="s">
        <v>16</v>
      </c>
      <c r="B11" s="45"/>
      <c r="C11" s="45"/>
      <c r="D11" s="45"/>
      <c r="E11" s="42">
        <f t="shared" si="1"/>
        <v>0</v>
      </c>
      <c r="F11" s="42" t="str">
        <f t="shared" si="2"/>
        <v>✗ RIEN</v>
      </c>
      <c r="G11" s="42">
        <f t="shared" si="3"/>
        <v>1</v>
      </c>
      <c r="H11" s="43"/>
      <c r="I11" s="43"/>
      <c r="J11" s="43"/>
      <c r="K11" s="44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>
      <c r="A12" s="47" t="s">
        <v>17</v>
      </c>
      <c r="B12" s="45"/>
      <c r="C12" s="45"/>
      <c r="D12" s="45"/>
      <c r="E12" s="42">
        <f t="shared" si="1"/>
        <v>0</v>
      </c>
      <c r="F12" s="42" t="str">
        <f t="shared" si="2"/>
        <v>✗ RIEN</v>
      </c>
      <c r="G12" s="42">
        <f t="shared" si="3"/>
        <v>1</v>
      </c>
      <c r="H12" s="45"/>
      <c r="I12" s="45"/>
      <c r="J12" s="45"/>
      <c r="K12" s="44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>
      <c r="A13" s="47" t="s">
        <v>18</v>
      </c>
      <c r="B13" s="45"/>
      <c r="C13" s="45"/>
      <c r="D13" s="45"/>
      <c r="E13" s="42">
        <f t="shared" si="1"/>
        <v>0</v>
      </c>
      <c r="F13" s="42" t="str">
        <f t="shared" si="2"/>
        <v>✗ RIEN</v>
      </c>
      <c r="G13" s="42">
        <f t="shared" si="3"/>
        <v>1</v>
      </c>
      <c r="H13" s="45"/>
      <c r="I13" s="45"/>
      <c r="J13" s="45"/>
      <c r="K13" s="44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>
      <c r="A14" s="47" t="s">
        <v>19</v>
      </c>
      <c r="B14" s="45"/>
      <c r="C14" s="45"/>
      <c r="D14" s="45"/>
      <c r="E14" s="42">
        <f t="shared" si="1"/>
        <v>0</v>
      </c>
      <c r="F14" s="42" t="str">
        <f t="shared" si="2"/>
        <v>✗ RIEN</v>
      </c>
      <c r="G14" s="42">
        <f t="shared" si="3"/>
        <v>1</v>
      </c>
      <c r="H14" s="45"/>
      <c r="I14" s="45"/>
      <c r="J14" s="45"/>
      <c r="K14" s="44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>
      <c r="A15" s="47" t="s">
        <v>20</v>
      </c>
      <c r="B15" s="45"/>
      <c r="C15" s="45"/>
      <c r="D15" s="45"/>
      <c r="E15" s="42">
        <f t="shared" si="1"/>
        <v>0</v>
      </c>
      <c r="F15" s="42" t="str">
        <f t="shared" si="2"/>
        <v>✗ RIEN</v>
      </c>
      <c r="G15" s="42">
        <f t="shared" si="3"/>
        <v>1</v>
      </c>
      <c r="H15" s="43"/>
      <c r="I15" s="43"/>
      <c r="J15" s="43"/>
      <c r="K15" s="44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>
      <c r="A17" s="48" t="s">
        <v>138</v>
      </c>
      <c r="B17" s="49"/>
      <c r="C17" s="49"/>
      <c r="D17" s="50"/>
      <c r="E17" s="51">
        <f>SUM(E4:E15)</f>
        <v>1</v>
      </c>
      <c r="F17" s="42" t="s">
        <v>139</v>
      </c>
      <c r="G17" s="51">
        <f>G15</f>
        <v>1</v>
      </c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>
      <c r="A19" s="52" t="s">
        <v>140</v>
      </c>
      <c r="B19" s="45">
        <f>COUNTIF(F4:F15,"★ BONUS")</f>
        <v>0</v>
      </c>
      <c r="C19" s="45" t="s">
        <v>141</v>
      </c>
      <c r="D19" s="45">
        <f>COUNTIF(F4:F15,"✓ OK")</f>
        <v>0</v>
      </c>
      <c r="E19" s="45" t="s">
        <v>142</v>
      </c>
      <c r="F19" s="45">
        <f>COUNTIF(F4:F15,"✗ RIEN")</f>
        <v>11</v>
      </c>
      <c r="G19" s="45" t="s">
        <v>143</v>
      </c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>
      <c r="A20" s="52" t="s">
        <v>144</v>
      </c>
      <c r="B20" s="45" t="s">
        <v>145</v>
      </c>
      <c r="C20" s="45" t="str">
        <f>H4</f>
        <v/>
      </c>
      <c r="D20" s="45" t="s">
        <v>146</v>
      </c>
      <c r="E20" s="45" t="str">
        <f>H15</f>
        <v/>
      </c>
      <c r="F20" s="45" t="s">
        <v>147</v>
      </c>
      <c r="G20" s="45" t="str">
        <f>IF(AND(H4&lt;&gt;"",H15&lt;&gt;""),H4-H15,"à remplir")</f>
        <v>à remplir</v>
      </c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>
      <c r="A21" s="52" t="s">
        <v>148</v>
      </c>
      <c r="B21" s="45" t="s">
        <v>149</v>
      </c>
      <c r="C21" s="45" t="str">
        <f>I7</f>
        <v/>
      </c>
      <c r="D21" s="45" t="s">
        <v>150</v>
      </c>
      <c r="E21" s="45" t="str">
        <f>I15</f>
        <v/>
      </c>
      <c r="F21" s="45"/>
      <c r="G21" s="45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>
      <c r="A22" s="52" t="s">
        <v>151</v>
      </c>
      <c r="B22" s="45" t="s">
        <v>152</v>
      </c>
      <c r="C22" s="45" t="str">
        <f>J11</f>
        <v/>
      </c>
      <c r="D22" s="45" t="s">
        <v>153</v>
      </c>
      <c r="E22" s="45" t="str">
        <f>J15</f>
        <v/>
      </c>
      <c r="F22" s="45" t="s">
        <v>147</v>
      </c>
      <c r="G22" s="45" t="str">
        <f>IF(AND(J11&lt;&gt;"",J15&lt;&gt;""),"voir chronos","à remplir")</f>
        <v>à remplir</v>
      </c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>
      <c r="A24" s="53" t="s">
        <v>154</v>
      </c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mergeCells count="3">
    <mergeCell ref="A1:K1"/>
    <mergeCell ref="A17:D17"/>
    <mergeCell ref="A24:K24"/>
  </mergeCells>
  <printOptions/>
  <pageMargins bottom="1.0" footer="0.0" header="0.0" left="0.75" right="0.75" top="1.0"/>
  <pageSetup paperSize="9" orientation="portrait"/>
  <drawing r:id="rId1"/>
</worksheet>
</file>